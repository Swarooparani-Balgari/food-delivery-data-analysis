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A9C52132-119D-470C-ADF5-BBAEB9275F8B}" xr6:coauthVersionLast="47" xr6:coauthVersionMax="47" xr10:uidLastSave="{00000000-0000-0000-0000-000000000000}"/>
  <bookViews>
    <workbookView xWindow="-108" yWindow="-108" windowWidth="23256" windowHeight="12456" activeTab="3" xr2:uid="{82CA2642-F743-4E18-B788-67041BBB4FA1}"/>
  </bookViews>
  <sheets>
    <sheet name="Revenue by City" sheetId="2" r:id="rId1"/>
    <sheet name="Revenue by Category" sheetId="3" r:id="rId2"/>
    <sheet name="Revenue by Date" sheetId="4" r:id="rId3"/>
    <sheet name="Datas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6" i="1"/>
  <c r="M4" i="1"/>
  <c r="M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<sst xmlns="http://schemas.openxmlformats.org/spreadsheetml/2006/main" count="71" uniqueCount="35">
  <si>
    <t>OrderID</t>
  </si>
  <si>
    <t>OrderDate</t>
  </si>
  <si>
    <t>Customer</t>
  </si>
  <si>
    <t>City</t>
  </si>
  <si>
    <t>Restaurant</t>
  </si>
  <si>
    <t>Category</t>
  </si>
  <si>
    <t>Quantity</t>
  </si>
  <si>
    <t>Price</t>
  </si>
  <si>
    <t>DeliveryFee</t>
  </si>
  <si>
    <t>Rahul</t>
  </si>
  <si>
    <t>Delhi</t>
  </si>
  <si>
    <t>Spice Hub</t>
  </si>
  <si>
    <t>Indian</t>
  </si>
  <si>
    <t>Neha</t>
  </si>
  <si>
    <t>Mumbai</t>
  </si>
  <si>
    <t>Pizza Point</t>
  </si>
  <si>
    <t>Italian</t>
  </si>
  <si>
    <t>Amit</t>
  </si>
  <si>
    <t>Bangalore</t>
  </si>
  <si>
    <t>Burger Town</t>
  </si>
  <si>
    <t>Fast Food</t>
  </si>
  <si>
    <t>Priya</t>
  </si>
  <si>
    <t>Karan</t>
  </si>
  <si>
    <t>Hyderabad</t>
  </si>
  <si>
    <t>Curry Palace</t>
  </si>
  <si>
    <t>Sushi Zen</t>
  </si>
  <si>
    <t>Japanese</t>
  </si>
  <si>
    <t>Revenue</t>
  </si>
  <si>
    <t>Total Revenue</t>
  </si>
  <si>
    <t>Total Delivery fees</t>
  </si>
  <si>
    <t>Total Orders</t>
  </si>
  <si>
    <t>Average Order Value</t>
  </si>
  <si>
    <t>Grand Total</t>
  </si>
  <si>
    <t>Sum of Revenue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</si>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</sst>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layout>
        <c:manualLayout>
          <c:xMode val="edge"/>
          <c:yMode val="edge"/>
          <c:x val="0.3508333333333333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Bangalore</c:v>
                </c:pt>
                <c:pt idx="3">
                  <c:v>Hyderabad</c:v>
                </c:pt>
              </c:strCache>
            </c:strRef>
          </c:cat>
          <c:val>
            <c:numRef>
              <c:f>'Revenue by City'!$B$4:$B$8</c:f>
              <c:numCache>
                <c:formatCode>General</c:formatCode>
                <c:ptCount val="4"/>
                <c:pt idx="0">
                  <c:v>2270</c:v>
                </c:pt>
                <c:pt idx="1">
                  <c:v>1160</c:v>
                </c:pt>
                <c:pt idx="2">
                  <c:v>1045</c:v>
                </c:pt>
                <c:pt idx="3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0-4967-8299-24036260C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75791"/>
        <c:axId val="184386831"/>
      </c:barChart>
      <c:catAx>
        <c:axId val="18437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86831"/>
        <c:crosses val="autoZero"/>
        <c:auto val="1"/>
        <c:lblAlgn val="ctr"/>
        <c:lblOffset val="100"/>
        <c:noMultiLvlLbl val="0"/>
      </c:catAx>
      <c:valAx>
        <c:axId val="1843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Category'!$A$4:$A$8</c:f>
              <c:strCache>
                <c:ptCount val="4"/>
                <c:pt idx="0">
                  <c:v>Italian</c:v>
                </c:pt>
                <c:pt idx="1">
                  <c:v>Indian</c:v>
                </c:pt>
                <c:pt idx="2">
                  <c:v>Fast Food</c:v>
                </c:pt>
                <c:pt idx="3">
                  <c:v>Japanese</c:v>
                </c:pt>
              </c:strCache>
            </c:strRef>
          </c:cat>
          <c:val>
            <c:numRef>
              <c:f>'Revenue by Category'!$B$4:$B$8</c:f>
              <c:numCache>
                <c:formatCode>General</c:formatCode>
                <c:ptCount val="4"/>
                <c:pt idx="0">
                  <c:v>1920</c:v>
                </c:pt>
                <c:pt idx="1">
                  <c:v>1660</c:v>
                </c:pt>
                <c:pt idx="2">
                  <c:v>1015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1-410F-BC4D-CBAEB9EB3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96911"/>
        <c:axId val="184397391"/>
      </c:barChart>
      <c:catAx>
        <c:axId val="18439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7391"/>
        <c:crosses val="autoZero"/>
        <c:auto val="1"/>
        <c:lblAlgn val="ctr"/>
        <c:lblOffset val="100"/>
        <c:noMultiLvlLbl val="0"/>
      </c:catAx>
      <c:valAx>
        <c:axId val="1843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Date!PivotTable3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Date'!$A$4:$A$9</c:f>
              <c:strCache>
                <c:ptCount val="5"/>
                <c:pt idx="0">
                  <c:v>01-06-2025</c:v>
                </c:pt>
                <c:pt idx="1">
                  <c:v>02-06-2025</c:v>
                </c:pt>
                <c:pt idx="2">
                  <c:v>03-06-2025</c:v>
                </c:pt>
                <c:pt idx="3">
                  <c:v>04-06-2025</c:v>
                </c:pt>
                <c:pt idx="4">
                  <c:v>05-06-2025</c:v>
                </c:pt>
              </c:strCache>
            </c:strRef>
          </c:cat>
          <c:val>
            <c:numRef>
              <c:f>'Revenue by Date'!$B$4:$B$9</c:f>
              <c:numCache>
                <c:formatCode>General</c:formatCode>
                <c:ptCount val="5"/>
                <c:pt idx="0">
                  <c:v>1040</c:v>
                </c:pt>
                <c:pt idx="1">
                  <c:v>915</c:v>
                </c:pt>
                <c:pt idx="2">
                  <c:v>1145</c:v>
                </c:pt>
                <c:pt idx="3">
                  <c:v>910</c:v>
                </c:pt>
                <c:pt idx="4">
                  <c:v>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B-4D65-A662-0E5740F8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901679"/>
        <c:axId val="1297436687"/>
      </c:lineChart>
      <c:catAx>
        <c:axId val="212990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36687"/>
        <c:crosses val="autoZero"/>
        <c:auto val="1"/>
        <c:lblAlgn val="ctr"/>
        <c:lblOffset val="100"/>
        <c:noMultiLvlLbl val="0"/>
      </c:catAx>
      <c:valAx>
        <c:axId val="12974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0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4</xdr:row>
      <xdr:rowOff>26670</xdr:rowOff>
    </xdr:from>
    <xdr:to>
      <xdr:col>12</xdr:col>
      <xdr:colOff>106680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63E5E-DA65-E0E0-83D9-7B515C346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5</xdr:row>
      <xdr:rowOff>80010</xdr:rowOff>
    </xdr:from>
    <xdr:to>
      <xdr:col>12</xdr:col>
      <xdr:colOff>510540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75077-4B12-7CD6-F5F6-4DED17901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5</xdr:row>
      <xdr:rowOff>80010</xdr:rowOff>
    </xdr:from>
    <xdr:to>
      <xdr:col>12</xdr:col>
      <xdr:colOff>510540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620CD-C129-F9D2-D659-47BE29A6B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2.459730671297" createdVersion="8" refreshedVersion="8" minRefreshableVersion="3" recordCount="10" xr:uid="{CA71850B-93A5-417E-AEE0-7AB510DD15D3}">
  <cacheSource type="worksheet">
    <worksheetSource ref="A1:J11" sheet="Dataset"/>
  </cacheSource>
  <cacheFields count="10">
    <cacheField name="OrderID" numFmtId="0">
      <sharedItems containsSemiMixedTypes="0" containsString="0" containsNumber="1" containsInteger="1" minValue="7001" maxValue="7010"/>
    </cacheField>
    <cacheField name="OrderDate" numFmtId="14">
      <sharedItems containsSemiMixedTypes="0" containsNonDate="0" containsDate="1" containsString="0" minDate="2025-06-01T00:00:00" maxDate="2025-06-06T00:00:00" count="5">
        <d v="2025-06-01T00:00:00"/>
        <d v="2025-06-02T00:00:00"/>
        <d v="2025-06-03T00:00:00"/>
        <d v="2025-06-04T00:00:00"/>
        <d v="2025-06-05T00:00:00"/>
      </sharedItems>
    </cacheField>
    <cacheField name="Customer" numFmtId="0">
      <sharedItems/>
    </cacheField>
    <cacheField name="City" numFmtId="0">
      <sharedItems count="4">
        <s v="Delhi"/>
        <s v="Mumbai"/>
        <s v="Bangalore"/>
        <s v="Hyderabad"/>
      </sharedItems>
    </cacheField>
    <cacheField name="Restaurant" numFmtId="0">
      <sharedItems/>
    </cacheField>
    <cacheField name="Category" numFmtId="0">
      <sharedItems count="4">
        <s v="Indian"/>
        <s v="Italian"/>
        <s v="Fast Food"/>
        <s v="Japanese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180" maxValue="600"/>
    </cacheField>
    <cacheField name="DeliveryFee" numFmtId="0">
      <sharedItems containsSemiMixedTypes="0" containsString="0" containsNumber="1" containsInteger="1" minValue="35" maxValue="60"/>
    </cacheField>
    <cacheField name="Revenue" numFmtId="0">
      <sharedItems containsSemiMixedTypes="0" containsString="0" containsNumber="1" containsInteger="1" minValue="295" maxValue="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7001"/>
    <x v="0"/>
    <s v="Rahul"/>
    <x v="0"/>
    <s v="Spice Hub"/>
    <x v="0"/>
    <n v="2"/>
    <n v="250"/>
    <n v="40"/>
    <n v="540"/>
  </r>
  <r>
    <n v="7002"/>
    <x v="0"/>
    <s v="Neha"/>
    <x v="1"/>
    <s v="Pizza Point"/>
    <x v="1"/>
    <n v="1"/>
    <n v="450"/>
    <n v="50"/>
    <n v="500"/>
  </r>
  <r>
    <n v="7003"/>
    <x v="1"/>
    <s v="Amit"/>
    <x v="2"/>
    <s v="Burger Town"/>
    <x v="2"/>
    <n v="3"/>
    <n v="180"/>
    <n v="35"/>
    <n v="575"/>
  </r>
  <r>
    <n v="7004"/>
    <x v="1"/>
    <s v="Priya"/>
    <x v="0"/>
    <s v="Spice Hub"/>
    <x v="0"/>
    <n v="1"/>
    <n v="300"/>
    <n v="40"/>
    <n v="340"/>
  </r>
  <r>
    <n v="7005"/>
    <x v="2"/>
    <s v="Karan"/>
    <x v="3"/>
    <s v="Curry Palace"/>
    <x v="0"/>
    <n v="2"/>
    <n v="220"/>
    <n v="45"/>
    <n v="485"/>
  </r>
  <r>
    <n v="7006"/>
    <x v="2"/>
    <s v="Rahul"/>
    <x v="1"/>
    <s v="Sushi Zen"/>
    <x v="3"/>
    <n v="1"/>
    <n v="600"/>
    <n v="60"/>
    <n v="660"/>
  </r>
  <r>
    <n v="7007"/>
    <x v="3"/>
    <s v="Neha"/>
    <x v="0"/>
    <s v="Burger Town"/>
    <x v="2"/>
    <n v="2"/>
    <n v="200"/>
    <n v="40"/>
    <n v="440"/>
  </r>
  <r>
    <n v="7008"/>
    <x v="3"/>
    <s v="Amit"/>
    <x v="2"/>
    <s v="Pizza Point"/>
    <x v="1"/>
    <n v="1"/>
    <n v="420"/>
    <n v="50"/>
    <n v="470"/>
  </r>
  <r>
    <n v="7009"/>
    <x v="4"/>
    <s v="Priya"/>
    <x v="3"/>
    <s v="Curry Palace"/>
    <x v="0"/>
    <n v="1"/>
    <n v="250"/>
    <n v="45"/>
    <n v="295"/>
  </r>
  <r>
    <n v="7010"/>
    <x v="4"/>
    <s v="Rahul"/>
    <x v="0"/>
    <s v="Pizza Point"/>
    <x v="1"/>
    <n v="2"/>
    <n v="450"/>
    <n v="50"/>
    <n v="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B0B1E-ED48-4053-A9CE-3036557ED0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3:B8" firstHeaderRow="1" firstDataRow="1" firstDataCol="1"/>
  <pivotFields count="10">
    <pivotField showAll="0"/>
    <pivotField numFmtId="14"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2D4BD-DD3F-4A66-8D83-5259FD2082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8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25CA4-A816-4B82-90BA-2A144DD773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 Date">
  <location ref="A3:B9" firstHeaderRow="1" firstDataRow="1" firstDataCol="1"/>
  <pivotFields count="10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F76C-31D7-463F-A8EE-BCC2748C9863}">
  <dimension ref="A3:B8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6" t="s">
        <v>3</v>
      </c>
      <c r="B3" t="s">
        <v>33</v>
      </c>
    </row>
    <row r="4" spans="1:2" x14ac:dyDescent="0.3">
      <c r="A4" s="7" t="s">
        <v>10</v>
      </c>
      <c r="B4">
        <v>2270</v>
      </c>
    </row>
    <row r="5" spans="1:2" x14ac:dyDescent="0.3">
      <c r="A5" s="7" t="s">
        <v>14</v>
      </c>
      <c r="B5">
        <v>1160</v>
      </c>
    </row>
    <row r="6" spans="1:2" x14ac:dyDescent="0.3">
      <c r="A6" s="7" t="s">
        <v>18</v>
      </c>
      <c r="B6">
        <v>1045</v>
      </c>
    </row>
    <row r="7" spans="1:2" x14ac:dyDescent="0.3">
      <c r="A7" s="7" t="s">
        <v>23</v>
      </c>
      <c r="B7">
        <v>780</v>
      </c>
    </row>
    <row r="8" spans="1:2" x14ac:dyDescent="0.3">
      <c r="A8" s="7" t="s">
        <v>32</v>
      </c>
      <c r="B8">
        <v>5255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480C-A53F-48F5-A611-7D033707CCE6}">
  <dimension ref="A3:B8"/>
  <sheetViews>
    <sheetView workbookViewId="0">
      <selection activeCell="P15" sqref="P1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6" t="s">
        <v>5</v>
      </c>
      <c r="B3" t="s">
        <v>33</v>
      </c>
    </row>
    <row r="4" spans="1:2" x14ac:dyDescent="0.3">
      <c r="A4" s="7" t="s">
        <v>16</v>
      </c>
      <c r="B4">
        <v>1920</v>
      </c>
    </row>
    <row r="5" spans="1:2" x14ac:dyDescent="0.3">
      <c r="A5" s="7" t="s">
        <v>12</v>
      </c>
      <c r="B5">
        <v>1660</v>
      </c>
    </row>
    <row r="6" spans="1:2" x14ac:dyDescent="0.3">
      <c r="A6" s="7" t="s">
        <v>20</v>
      </c>
      <c r="B6">
        <v>1015</v>
      </c>
    </row>
    <row r="7" spans="1:2" x14ac:dyDescent="0.3">
      <c r="A7" s="7" t="s">
        <v>26</v>
      </c>
      <c r="B7">
        <v>660</v>
      </c>
    </row>
    <row r="8" spans="1:2" x14ac:dyDescent="0.3">
      <c r="A8" s="7" t="s">
        <v>32</v>
      </c>
      <c r="B8">
        <v>5255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8565-860C-4139-B95E-4360C91E8381}">
  <dimension ref="A3:B9"/>
  <sheetViews>
    <sheetView workbookViewId="0">
      <selection activeCell="O13" sqref="O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6" t="s">
        <v>34</v>
      </c>
      <c r="B3" t="s">
        <v>33</v>
      </c>
    </row>
    <row r="4" spans="1:2" x14ac:dyDescent="0.3">
      <c r="A4" s="8">
        <v>45809</v>
      </c>
      <c r="B4">
        <v>1040</v>
      </c>
    </row>
    <row r="5" spans="1:2" x14ac:dyDescent="0.3">
      <c r="A5" s="8">
        <v>45810</v>
      </c>
      <c r="B5">
        <v>915</v>
      </c>
    </row>
    <row r="6" spans="1:2" x14ac:dyDescent="0.3">
      <c r="A6" s="8">
        <v>45811</v>
      </c>
      <c r="B6">
        <v>1145</v>
      </c>
    </row>
    <row r="7" spans="1:2" x14ac:dyDescent="0.3">
      <c r="A7" s="8">
        <v>45812</v>
      </c>
      <c r="B7">
        <v>910</v>
      </c>
    </row>
    <row r="8" spans="1:2" x14ac:dyDescent="0.3">
      <c r="A8" s="8">
        <v>45813</v>
      </c>
      <c r="B8">
        <v>1245</v>
      </c>
    </row>
    <row r="9" spans="1:2" x14ac:dyDescent="0.3">
      <c r="A9" s="8" t="s">
        <v>32</v>
      </c>
      <c r="B9">
        <v>5255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FDE2-A98C-4581-956B-40F5D8F9F4EF}">
  <sheetPr codeName="Sheet1"/>
  <dimension ref="A1:M11"/>
  <sheetViews>
    <sheetView tabSelected="1" workbookViewId="0">
      <selection activeCell="E12" sqref="E12"/>
    </sheetView>
  </sheetViews>
  <sheetFormatPr defaultRowHeight="14.4" x14ac:dyDescent="0.3"/>
  <cols>
    <col min="1" max="1" width="7.5546875" style="5" bestFit="1" customWidth="1"/>
    <col min="2" max="2" width="10.33203125" style="5" bestFit="1" customWidth="1"/>
    <col min="3" max="3" width="9.109375" style="5" bestFit="1" customWidth="1"/>
    <col min="4" max="4" width="9.77734375" style="5" bestFit="1" customWidth="1"/>
    <col min="5" max="5" width="11.33203125" style="5" bestFit="1" customWidth="1"/>
    <col min="6" max="6" width="8.88671875" style="5"/>
    <col min="7" max="7" width="8.33203125" style="5" bestFit="1" customWidth="1"/>
    <col min="8" max="8" width="5.109375" style="5" bestFit="1" customWidth="1"/>
    <col min="9" max="9" width="10.6640625" style="5" bestFit="1" customWidth="1"/>
    <col min="10" max="10" width="8.33203125" style="5" bestFit="1" customWidth="1"/>
    <col min="11" max="11" width="8.88671875" style="5"/>
    <col min="12" max="12" width="17.88671875" style="5" bestFit="1" customWidth="1"/>
    <col min="13" max="13" width="6" style="5" bestFit="1" customWidth="1"/>
    <col min="14" max="16384" width="8.88671875" style="5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</v>
      </c>
    </row>
    <row r="2" spans="1:13" x14ac:dyDescent="0.3">
      <c r="A2" s="2">
        <v>7001</v>
      </c>
      <c r="B2" s="3">
        <v>45809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250</v>
      </c>
      <c r="I2" s="2">
        <v>40</v>
      </c>
      <c r="J2" s="5">
        <f>(G2*H2)+I2</f>
        <v>540</v>
      </c>
      <c r="L2" s="5" t="s">
        <v>28</v>
      </c>
      <c r="M2" s="5">
        <f>SUM(J2:J11)</f>
        <v>5255</v>
      </c>
    </row>
    <row r="3" spans="1:13" x14ac:dyDescent="0.3">
      <c r="A3" s="2">
        <v>7002</v>
      </c>
      <c r="B3" s="3">
        <v>45809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  <c r="H3" s="2">
        <v>450</v>
      </c>
      <c r="I3" s="2">
        <v>50</v>
      </c>
      <c r="J3" s="5">
        <f t="shared" ref="J3:J11" si="0">(G3*H3)+I3</f>
        <v>500</v>
      </c>
    </row>
    <row r="4" spans="1:13" x14ac:dyDescent="0.3">
      <c r="A4" s="2">
        <v>7003</v>
      </c>
      <c r="B4" s="3">
        <v>45810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3</v>
      </c>
      <c r="H4" s="2">
        <v>180</v>
      </c>
      <c r="I4" s="2">
        <v>35</v>
      </c>
      <c r="J4" s="5">
        <f t="shared" si="0"/>
        <v>575</v>
      </c>
      <c r="L4" s="5" t="s">
        <v>29</v>
      </c>
      <c r="M4" s="5">
        <f>SUM(I2:I11)</f>
        <v>455</v>
      </c>
    </row>
    <row r="5" spans="1:13" x14ac:dyDescent="0.3">
      <c r="A5" s="2">
        <v>7004</v>
      </c>
      <c r="B5" s="3">
        <v>45810</v>
      </c>
      <c r="C5" s="2" t="s">
        <v>21</v>
      </c>
      <c r="D5" s="2" t="s">
        <v>10</v>
      </c>
      <c r="E5" s="2" t="s">
        <v>11</v>
      </c>
      <c r="F5" s="2" t="s">
        <v>12</v>
      </c>
      <c r="G5" s="2">
        <v>1</v>
      </c>
      <c r="H5" s="2">
        <v>300</v>
      </c>
      <c r="I5" s="2">
        <v>40</v>
      </c>
      <c r="J5" s="5">
        <f t="shared" si="0"/>
        <v>340</v>
      </c>
    </row>
    <row r="6" spans="1:13" x14ac:dyDescent="0.3">
      <c r="A6" s="2">
        <v>7005</v>
      </c>
      <c r="B6" s="3">
        <v>45811</v>
      </c>
      <c r="C6" s="2" t="s">
        <v>22</v>
      </c>
      <c r="D6" s="2" t="s">
        <v>23</v>
      </c>
      <c r="E6" s="2" t="s">
        <v>24</v>
      </c>
      <c r="F6" s="2" t="s">
        <v>12</v>
      </c>
      <c r="G6" s="2">
        <v>2</v>
      </c>
      <c r="H6" s="2">
        <v>220</v>
      </c>
      <c r="I6" s="2">
        <v>45</v>
      </c>
      <c r="J6" s="5">
        <f t="shared" si="0"/>
        <v>485</v>
      </c>
      <c r="L6" s="5" t="s">
        <v>30</v>
      </c>
      <c r="M6" s="5">
        <f>COUNT(A2:A11)</f>
        <v>10</v>
      </c>
    </row>
    <row r="7" spans="1:13" x14ac:dyDescent="0.3">
      <c r="A7" s="2">
        <v>7006</v>
      </c>
      <c r="B7" s="3">
        <v>45811</v>
      </c>
      <c r="C7" s="2" t="s">
        <v>9</v>
      </c>
      <c r="D7" s="2" t="s">
        <v>14</v>
      </c>
      <c r="E7" s="2" t="s">
        <v>25</v>
      </c>
      <c r="F7" s="2" t="s">
        <v>26</v>
      </c>
      <c r="G7" s="2">
        <v>1</v>
      </c>
      <c r="H7" s="2">
        <v>600</v>
      </c>
      <c r="I7" s="2">
        <v>60</v>
      </c>
      <c r="J7" s="5">
        <f t="shared" si="0"/>
        <v>660</v>
      </c>
    </row>
    <row r="8" spans="1:13" x14ac:dyDescent="0.3">
      <c r="A8" s="2">
        <v>7007</v>
      </c>
      <c r="B8" s="3">
        <v>45812</v>
      </c>
      <c r="C8" s="2" t="s">
        <v>13</v>
      </c>
      <c r="D8" s="2" t="s">
        <v>10</v>
      </c>
      <c r="E8" s="2" t="s">
        <v>19</v>
      </c>
      <c r="F8" s="2" t="s">
        <v>20</v>
      </c>
      <c r="G8" s="2">
        <v>2</v>
      </c>
      <c r="H8" s="2">
        <v>200</v>
      </c>
      <c r="I8" s="2">
        <v>40</v>
      </c>
      <c r="J8" s="5">
        <f t="shared" si="0"/>
        <v>440</v>
      </c>
      <c r="L8" s="5" t="s">
        <v>31</v>
      </c>
      <c r="M8" s="5">
        <f>AVERAGE(J2:J11)</f>
        <v>525.5</v>
      </c>
    </row>
    <row r="9" spans="1:13" x14ac:dyDescent="0.3">
      <c r="A9" s="2">
        <v>7008</v>
      </c>
      <c r="B9" s="3">
        <v>45812</v>
      </c>
      <c r="C9" s="2" t="s">
        <v>17</v>
      </c>
      <c r="D9" s="2" t="s">
        <v>18</v>
      </c>
      <c r="E9" s="2" t="s">
        <v>15</v>
      </c>
      <c r="F9" s="2" t="s">
        <v>16</v>
      </c>
      <c r="G9" s="2">
        <v>1</v>
      </c>
      <c r="H9" s="2">
        <v>420</v>
      </c>
      <c r="I9" s="2">
        <v>50</v>
      </c>
      <c r="J9" s="5">
        <f t="shared" si="0"/>
        <v>470</v>
      </c>
    </row>
    <row r="10" spans="1:13" x14ac:dyDescent="0.3">
      <c r="A10" s="2">
        <v>7009</v>
      </c>
      <c r="B10" s="3">
        <v>45813</v>
      </c>
      <c r="C10" s="2" t="s">
        <v>21</v>
      </c>
      <c r="D10" s="2" t="s">
        <v>23</v>
      </c>
      <c r="E10" s="2" t="s">
        <v>24</v>
      </c>
      <c r="F10" s="2" t="s">
        <v>12</v>
      </c>
      <c r="G10" s="2">
        <v>1</v>
      </c>
      <c r="H10" s="2">
        <v>250</v>
      </c>
      <c r="I10" s="2">
        <v>45</v>
      </c>
      <c r="J10" s="5">
        <f t="shared" si="0"/>
        <v>295</v>
      </c>
    </row>
    <row r="11" spans="1:13" x14ac:dyDescent="0.3">
      <c r="A11" s="2">
        <v>7010</v>
      </c>
      <c r="B11" s="3">
        <v>45813</v>
      </c>
      <c r="C11" s="2" t="s">
        <v>9</v>
      </c>
      <c r="D11" s="2" t="s">
        <v>10</v>
      </c>
      <c r="E11" s="2" t="s">
        <v>15</v>
      </c>
      <c r="F11" s="2" t="s">
        <v>16</v>
      </c>
      <c r="G11" s="2">
        <v>2</v>
      </c>
      <c r="H11" s="2">
        <v>450</v>
      </c>
      <c r="I11" s="2">
        <v>50</v>
      </c>
      <c r="J11" s="5">
        <f t="shared" si="0"/>
        <v>950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City</vt:lpstr>
      <vt:lpstr>Revenue by Category</vt:lpstr>
      <vt:lpstr>Revenue by 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2026-03-11T05:23:07Z</dcterms:created>
  <dcterms:modified xsi:type="dcterms:W3CDTF">2026-03-11T08:23:36Z</dcterms:modified>
</cp:coreProperties>
</file>